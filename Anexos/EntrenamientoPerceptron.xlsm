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ink/ink1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nteligenciaArtificial\"/>
    </mc:Choice>
  </mc:AlternateContent>
  <xr:revisionPtr revIDLastSave="0" documentId="13_ncr:1_{EE1955BD-52FA-43B2-853B-A97F28D88AA0}" xr6:coauthVersionLast="44" xr6:coauthVersionMax="44" xr10:uidLastSave="{00000000-0000-0000-0000-000000000000}"/>
  <bookViews>
    <workbookView xWindow="-108" yWindow="-108" windowWidth="23256" windowHeight="13176" xr2:uid="{433F83DF-C6D8-4F51-A39A-29BF77221C87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9" i="1" l="1"/>
  <c r="S9" i="1" s="1"/>
  <c r="R8" i="1"/>
  <c r="S8" i="1" s="1"/>
  <c r="S5" i="1"/>
  <c r="R6" i="1"/>
  <c r="S6" i="1" s="1"/>
  <c r="M7" i="1"/>
  <c r="J6" i="1"/>
  <c r="R7" i="1" l="1"/>
  <c r="P4" i="1"/>
  <c r="P9" i="1" s="1"/>
  <c r="S7" i="1" l="1"/>
  <c r="P6" i="1"/>
  <c r="P8" i="1" s="1"/>
  <c r="P5" i="1"/>
  <c r="P7" i="1" s="1"/>
</calcChain>
</file>

<file path=xl/sharedStrings.xml><?xml version="1.0" encoding="utf-8"?>
<sst xmlns="http://schemas.openxmlformats.org/spreadsheetml/2006/main" count="27" uniqueCount="24">
  <si>
    <t>Patrones de entrenamiento</t>
  </si>
  <si>
    <t>Entrada</t>
  </si>
  <si>
    <t>Salida</t>
  </si>
  <si>
    <t>x1</t>
  </si>
  <si>
    <t>x2</t>
  </si>
  <si>
    <t>D</t>
  </si>
  <si>
    <t>y</t>
  </si>
  <si>
    <t>w1</t>
  </si>
  <si>
    <t>w2</t>
  </si>
  <si>
    <t>w2=</t>
  </si>
  <si>
    <t>w1=</t>
  </si>
  <si>
    <t>b=</t>
  </si>
  <si>
    <t>b</t>
  </si>
  <si>
    <t>delta1=n*S*x1=</t>
  </si>
  <si>
    <t>delta2=n*S*x2=</t>
  </si>
  <si>
    <t>W1=w1+delta1=</t>
  </si>
  <si>
    <t>W2=w2+delta2=</t>
  </si>
  <si>
    <t>b=b-nS=</t>
  </si>
  <si>
    <t>S=(D-Y)=</t>
  </si>
  <si>
    <t>x</t>
  </si>
  <si>
    <t>Recta</t>
  </si>
  <si>
    <t>n</t>
  </si>
  <si>
    <t>Error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</si>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</sst>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2"/>
      <color theme="1"/>
      <name val="Century Gothic"/>
      <family val="2"/>
    </font>
    <font>
      <sz val="10"/>
      <color rgb="FF1E1E1E"/>
      <name val="Segoe UI"/>
      <family val="2"/>
    </font>
    <font>
      <b/>
      <sz val="11"/>
      <color theme="1"/>
      <name val="Century Gothic"/>
      <family val="2"/>
    </font>
    <font>
      <b/>
      <sz val="12"/>
      <color theme="1"/>
      <name val="Century Gothic"/>
      <family val="2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1" fillId="7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5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6" fillId="0" borderId="0" xfId="0" applyFont="1"/>
    <xf numFmtId="0" fontId="6" fillId="6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39370078740152E-2"/>
          <c:y val="4.6296296296296294E-2"/>
          <c:w val="0.8730857392825897"/>
          <c:h val="0.89814814814814814"/>
        </c:manualLayout>
      </c:layout>
      <c:scatterChart>
        <c:scatterStyle val="lineMarker"/>
        <c:varyColors val="0"/>
        <c:ser>
          <c:idx val="0"/>
          <c:order val="0"/>
          <c:tx>
            <c:v>Entradas 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Hoja1!$C$9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39-4208-94E6-77E2598CA303}"/>
            </c:ext>
          </c:extLst>
        </c:ser>
        <c:ser>
          <c:idx val="1"/>
          <c:order val="1"/>
          <c:tx>
            <c:v>Entradas 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Hoja1!$B$6:$B$8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0</c:v>
                </c:pt>
              </c:numCache>
            </c:numRef>
          </c:xVal>
          <c:yVal>
            <c:numRef>
              <c:f>Hoja1!$C$6:$C$8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39-4208-94E6-77E2598CA303}"/>
            </c:ext>
          </c:extLst>
        </c:ser>
        <c:ser>
          <c:idx val="2"/>
          <c:order val="2"/>
          <c:tx>
            <c:v>Recta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Hoja1!$R$5:$R$9</c:f>
              <c:numCache>
                <c:formatCode>General</c:formatCode>
                <c:ptCount val="5"/>
                <c:pt idx="0">
                  <c:v>-0.5</c:v>
                </c:pt>
                <c:pt idx="1">
                  <c:v>0</c:v>
                </c:pt>
                <c:pt idx="2">
                  <c:v>0.5</c:v>
                </c:pt>
                <c:pt idx="3">
                  <c:v>1</c:v>
                </c:pt>
                <c:pt idx="4">
                  <c:v>1.5</c:v>
                </c:pt>
              </c:numCache>
            </c:numRef>
          </c:xVal>
          <c:yVal>
            <c:numRef>
              <c:f>Hoja1!$S$5:$S$9</c:f>
              <c:numCache>
                <c:formatCode>General</c:formatCode>
                <c:ptCount val="5"/>
                <c:pt idx="0">
                  <c:v>1.5</c:v>
                </c:pt>
                <c:pt idx="1">
                  <c:v>1.25</c:v>
                </c:pt>
                <c:pt idx="2">
                  <c:v>1</c:v>
                </c:pt>
                <c:pt idx="3">
                  <c:v>0.75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39-4208-94E6-77E2598CA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9525024"/>
        <c:axId val="1956184064"/>
      </c:scatterChart>
      <c:valAx>
        <c:axId val="179952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56184064"/>
        <c:crosses val="autoZero"/>
        <c:crossBetween val="midCat"/>
      </c:valAx>
      <c:valAx>
        <c:axId val="19561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99525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ustomXml" Target="../ink/ink1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</xdr:colOff>
          <xdr:row>5</xdr:row>
          <xdr:rowOff>22860</xdr:rowOff>
        </xdr:from>
        <xdr:to>
          <xdr:col>4</xdr:col>
          <xdr:colOff>403860</xdr:colOff>
          <xdr:row>5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231D6DA-4A91-4BC2-8A17-165E1C536E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</xdr:colOff>
          <xdr:row>6</xdr:row>
          <xdr:rowOff>15240</xdr:rowOff>
        </xdr:from>
        <xdr:to>
          <xdr:col>4</xdr:col>
          <xdr:colOff>403860</xdr:colOff>
          <xdr:row>6</xdr:row>
          <xdr:rowOff>167640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B03EC17F-0E1D-45F0-BEF1-4F7D40261F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</xdr:colOff>
          <xdr:row>7</xdr:row>
          <xdr:rowOff>22860</xdr:rowOff>
        </xdr:from>
        <xdr:to>
          <xdr:col>4</xdr:col>
          <xdr:colOff>403860</xdr:colOff>
          <xdr:row>7</xdr:row>
          <xdr:rowOff>175260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661A1AC-E2F2-4BA0-A29F-49A456C5B0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8</xdr:row>
          <xdr:rowOff>22860</xdr:rowOff>
        </xdr:from>
        <xdr:to>
          <xdr:col>4</xdr:col>
          <xdr:colOff>411480</xdr:colOff>
          <xdr:row>8</xdr:row>
          <xdr:rowOff>175260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3C0A40F9-FF09-4013-B840-4EA371E4D6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22860</xdr:rowOff>
        </xdr:from>
        <xdr:to>
          <xdr:col>4</xdr:col>
          <xdr:colOff>723900</xdr:colOff>
          <xdr:row>0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D3109A69-ED36-47FA-A987-D4FA998820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</xdr:colOff>
          <xdr:row>0</xdr:row>
          <xdr:rowOff>38100</xdr:rowOff>
        </xdr:from>
        <xdr:to>
          <xdr:col>12</xdr:col>
          <xdr:colOff>327660</xdr:colOff>
          <xdr:row>1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4F2B6F97-7B0D-45AA-91B5-D240B2B86B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502920</xdr:colOff>
      <xdr:row>11</xdr:row>
      <xdr:rowOff>171450</xdr:rowOff>
    </xdr:from>
    <xdr:to>
      <xdr:col>14</xdr:col>
      <xdr:colOff>853440</xdr:colOff>
      <xdr:row>26</xdr:row>
      <xdr:rowOff>163830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2D8E4BA-4052-4B15-85A8-A6213DF3E0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236040</xdr:colOff>
      <xdr:row>1</xdr:row>
      <xdr:rowOff>167400</xdr:rowOff>
    </xdr:from>
    <xdr:to>
      <xdr:col>8</xdr:col>
      <xdr:colOff>236400</xdr:colOff>
      <xdr:row>1</xdr:row>
      <xdr:rowOff>167760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">
          <xdr14:nvContentPartPr>
            <xdr14:cNvPr id="7" name="Entrada de lápiz 6">
              <a:extLst>
                <a:ext uri="{FF2B5EF4-FFF2-40B4-BE49-F238E27FC236}">
                  <a16:creationId xmlns:a16="http://schemas.microsoft.com/office/drawing/2014/main" id="{6502D44F-C8C3-4443-A928-382EAABBFA24}"/>
                </a:ext>
              </a:extLst>
            </xdr14:cNvPr>
            <xdr14:cNvContentPartPr/>
          </xdr14:nvContentPartPr>
          <xdr14:nvPr macro=""/>
          <xdr14:xfrm>
            <a:off x="3771720" y="350280"/>
            <a:ext cx="360" cy="360"/>
          </xdr14:xfrm>
        </xdr:contentPart>
      </mc:Choice>
      <mc:Fallback>
        <xdr:pic>
          <xdr:nvPicPr>
            <xdr:cNvPr id="7" name="Entrada de lápiz 6">
              <a:extLst>
                <a:ext uri="{FF2B5EF4-FFF2-40B4-BE49-F238E27FC236}">
                  <a16:creationId xmlns:a16="http://schemas.microsoft.com/office/drawing/2014/main" id="{6502D44F-C8C3-4443-A928-382EAABBFA24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3767400" y="3459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6</xdr:col>
      <xdr:colOff>3900</xdr:colOff>
      <xdr:row>2</xdr:row>
      <xdr:rowOff>95520</xdr:rowOff>
    </xdr:from>
    <xdr:to>
      <xdr:col>6</xdr:col>
      <xdr:colOff>363900</xdr:colOff>
      <xdr:row>4</xdr:row>
      <xdr:rowOff>89760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ED4FB8A5-880D-44FC-ABEF-D21738C3F0FC}"/>
            </a:ext>
          </a:extLst>
        </xdr:cNvPr>
        <xdr:cNvSpPr/>
      </xdr:nvSpPr>
      <xdr:spPr>
        <a:xfrm>
          <a:off x="2777580" y="476520"/>
          <a:ext cx="360000" cy="360000"/>
        </a:xfrm>
        <a:prstGeom prst="ellipse">
          <a:avLst/>
        </a:prstGeom>
        <a:noFill/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7620</xdr:colOff>
      <xdr:row>7</xdr:row>
      <xdr:rowOff>99060</xdr:rowOff>
    </xdr:from>
    <xdr:to>
      <xdr:col>6</xdr:col>
      <xdr:colOff>367620</xdr:colOff>
      <xdr:row>9</xdr:row>
      <xdr:rowOff>93300</xdr:rowOff>
    </xdr:to>
    <xdr:sp macro="" textlink="">
      <xdr:nvSpPr>
        <xdr:cNvPr id="19" name="Elipse 18">
          <a:extLst>
            <a:ext uri="{FF2B5EF4-FFF2-40B4-BE49-F238E27FC236}">
              <a16:creationId xmlns:a16="http://schemas.microsoft.com/office/drawing/2014/main" id="{54CBE93B-CC06-4F4F-B4DA-41FE4F1FB886}"/>
            </a:ext>
          </a:extLst>
        </xdr:cNvPr>
        <xdr:cNvSpPr/>
      </xdr:nvSpPr>
      <xdr:spPr>
        <a:xfrm>
          <a:off x="2781300" y="1394460"/>
          <a:ext cx="360000" cy="360000"/>
        </a:xfrm>
        <a:prstGeom prst="ellipse">
          <a:avLst/>
        </a:prstGeom>
        <a:noFill/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121440</xdr:colOff>
      <xdr:row>4</xdr:row>
      <xdr:rowOff>105300</xdr:rowOff>
    </xdr:from>
    <xdr:to>
      <xdr:col>10</xdr:col>
      <xdr:colOff>280440</xdr:colOff>
      <xdr:row>7</xdr:row>
      <xdr:rowOff>96660</xdr:rowOff>
    </xdr:to>
    <xdr:sp macro="" textlink="">
      <xdr:nvSpPr>
        <xdr:cNvPr id="17" name="Elipse 16">
          <a:extLst>
            <a:ext uri="{FF2B5EF4-FFF2-40B4-BE49-F238E27FC236}">
              <a16:creationId xmlns:a16="http://schemas.microsoft.com/office/drawing/2014/main" id="{A80DA766-80A9-4872-97A9-E8A117EC87D4}"/>
            </a:ext>
          </a:extLst>
        </xdr:cNvPr>
        <xdr:cNvSpPr/>
      </xdr:nvSpPr>
      <xdr:spPr>
        <a:xfrm>
          <a:off x="4038120" y="852060"/>
          <a:ext cx="540000" cy="540000"/>
        </a:xfrm>
        <a:prstGeom prst="ellipse">
          <a:avLst/>
        </a:prstGeom>
        <a:noFill/>
        <a:ln w="381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>
            <a:solidFill>
              <a:srgbClr val="000000"/>
            </a:solidFill>
          </a:endParaRPr>
        </a:p>
      </xdr:txBody>
    </xdr:sp>
    <xdr:clientData/>
  </xdr:twoCellAnchor>
  <xdr:twoCellAnchor>
    <xdr:from>
      <xdr:col>6</xdr:col>
      <xdr:colOff>363900</xdr:colOff>
      <xdr:row>3</xdr:row>
      <xdr:rowOff>92640</xdr:rowOff>
    </xdr:from>
    <xdr:to>
      <xdr:col>9</xdr:col>
      <xdr:colOff>121440</xdr:colOff>
      <xdr:row>6</xdr:row>
      <xdr:rowOff>9540</xdr:rowOff>
    </xdr:to>
    <xdr:cxnSp macro="">
      <xdr:nvCxnSpPr>
        <xdr:cNvPr id="23" name="Conector recto de flecha 22">
          <a:extLst>
            <a:ext uri="{FF2B5EF4-FFF2-40B4-BE49-F238E27FC236}">
              <a16:creationId xmlns:a16="http://schemas.microsoft.com/office/drawing/2014/main" id="{ADDBB403-BE9E-48C8-9CA5-711E5293D7D8}"/>
            </a:ext>
          </a:extLst>
        </xdr:cNvPr>
        <xdr:cNvCxnSpPr>
          <a:stCxn id="9" idx="6"/>
          <a:endCxn id="17" idx="2"/>
        </xdr:cNvCxnSpPr>
      </xdr:nvCxnSpPr>
      <xdr:spPr>
        <a:xfrm>
          <a:off x="3137580" y="656520"/>
          <a:ext cx="900540" cy="465540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367620</xdr:colOff>
      <xdr:row>6</xdr:row>
      <xdr:rowOff>9540</xdr:rowOff>
    </xdr:from>
    <xdr:to>
      <xdr:col>9</xdr:col>
      <xdr:colOff>121440</xdr:colOff>
      <xdr:row>8</xdr:row>
      <xdr:rowOff>96180</xdr:rowOff>
    </xdr:to>
    <xdr:cxnSp macro="">
      <xdr:nvCxnSpPr>
        <xdr:cNvPr id="27" name="Conector recto de flecha 26">
          <a:extLst>
            <a:ext uri="{FF2B5EF4-FFF2-40B4-BE49-F238E27FC236}">
              <a16:creationId xmlns:a16="http://schemas.microsoft.com/office/drawing/2014/main" id="{E1372562-4E29-4858-9D5C-A6472F35A717}"/>
            </a:ext>
          </a:extLst>
        </xdr:cNvPr>
        <xdr:cNvCxnSpPr>
          <a:stCxn id="19" idx="6"/>
          <a:endCxn id="17" idx="2"/>
        </xdr:cNvCxnSpPr>
      </xdr:nvCxnSpPr>
      <xdr:spPr>
        <a:xfrm flipV="1">
          <a:off x="3141300" y="1122060"/>
          <a:ext cx="896820" cy="452400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280440</xdr:colOff>
      <xdr:row>5</xdr:row>
      <xdr:rowOff>167640</xdr:rowOff>
    </xdr:from>
    <xdr:to>
      <xdr:col>13</xdr:col>
      <xdr:colOff>259080</xdr:colOff>
      <xdr:row>6</xdr:row>
      <xdr:rowOff>9540</xdr:rowOff>
    </xdr:to>
    <xdr:cxnSp macro="">
      <xdr:nvCxnSpPr>
        <xdr:cNvPr id="29" name="Conector recto de flecha 28">
          <a:extLst>
            <a:ext uri="{FF2B5EF4-FFF2-40B4-BE49-F238E27FC236}">
              <a16:creationId xmlns:a16="http://schemas.microsoft.com/office/drawing/2014/main" id="{6E74439C-4A58-4691-A2DA-BB813CB671C5}"/>
            </a:ext>
          </a:extLst>
        </xdr:cNvPr>
        <xdr:cNvCxnSpPr>
          <a:stCxn id="17" idx="6"/>
        </xdr:cNvCxnSpPr>
      </xdr:nvCxnSpPr>
      <xdr:spPr>
        <a:xfrm flipV="1">
          <a:off x="4578120" y="1097280"/>
          <a:ext cx="1121640" cy="24780"/>
        </a:xfrm>
        <a:prstGeom prst="straightConnector1">
          <a:avLst/>
        </a:prstGeom>
        <a:ln w="381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04-14T17:20:59.355"/>
    </inkml:context>
    <inkml:brush xml:id="br0">
      <inkml:brushProperty name="width" value="0.025" units="cm"/>
      <inkml:brushProperty name="height" value="0.025" units="cm"/>
      <inkml:brushProperty name="ignorePressure" value="1"/>
    </inkml:brush>
  </inkml:definitions>
  <inkml:trace contextRef="#ctx0" brushRef="#br0">1 0</inkml:trace>
</inkml: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DB89E-0D5B-4CA0-84A6-105D7FF39ECB}">
  <sheetPr codeName="Hoja1">
    <pageSetUpPr fitToPage="1"/>
  </sheetPr>
  <dimension ref="B1:T45"/>
  <sheetViews>
    <sheetView showGridLines="0" tabSelected="1" zoomScaleNormal="100" workbookViewId="0">
      <selection activeCell="K2" sqref="K2"/>
    </sheetView>
  </sheetViews>
  <sheetFormatPr baseColWidth="10" defaultColWidth="0" defaultRowHeight="14.4" zeroHeight="1" x14ac:dyDescent="0.3"/>
  <cols>
    <col min="1" max="3" width="5.5546875" customWidth="1"/>
    <col min="4" max="4" width="6.6640625" customWidth="1"/>
    <col min="5" max="5" width="11.5546875" customWidth="1"/>
    <col min="6" max="14" width="5.5546875" customWidth="1"/>
    <col min="15" max="15" width="15.5546875" customWidth="1"/>
    <col min="16" max="20" width="5.5546875" customWidth="1"/>
    <col min="21" max="16384" width="11.5546875" hidden="1"/>
  </cols>
  <sheetData>
    <row r="1" spans="2:20" ht="14.4" customHeight="1" x14ac:dyDescent="0.3">
      <c r="B1" s="1"/>
      <c r="C1" s="2"/>
      <c r="D1" s="2"/>
      <c r="E1" s="3"/>
      <c r="F1" s="5" t="s">
        <v>10</v>
      </c>
      <c r="G1" s="5">
        <v>0.1</v>
      </c>
      <c r="H1" s="5" t="s">
        <v>9</v>
      </c>
      <c r="I1" s="5">
        <v>0.2</v>
      </c>
      <c r="J1" s="5" t="s">
        <v>11</v>
      </c>
      <c r="K1" s="5">
        <v>0.25</v>
      </c>
      <c r="L1" s="3"/>
      <c r="M1" s="3"/>
      <c r="N1" s="3"/>
      <c r="O1" s="3"/>
      <c r="P1" s="3"/>
    </row>
    <row r="2" spans="2:20" ht="15.6" customHeight="1" x14ac:dyDescent="0.3">
      <c r="B2" s="16" t="s">
        <v>0</v>
      </c>
      <c r="C2" s="17"/>
      <c r="D2" s="18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2:20" ht="15" x14ac:dyDescent="0.3">
      <c r="B3" s="19"/>
      <c r="C3" s="20"/>
      <c r="D3" s="21"/>
      <c r="E3" s="4"/>
      <c r="F3" s="25"/>
      <c r="G3" s="25"/>
      <c r="H3" s="25"/>
      <c r="I3" s="25"/>
      <c r="J3" s="25"/>
      <c r="K3" s="25"/>
      <c r="L3" s="25"/>
      <c r="M3" s="25"/>
      <c r="N3" s="4"/>
      <c r="O3" s="22" t="s">
        <v>22</v>
      </c>
      <c r="P3" s="22"/>
      <c r="R3" s="23" t="s">
        <v>20</v>
      </c>
      <c r="S3" s="23"/>
    </row>
    <row r="4" spans="2:20" ht="15" x14ac:dyDescent="0.3">
      <c r="B4" s="8" t="s">
        <v>1</v>
      </c>
      <c r="C4" s="9"/>
      <c r="D4" s="10" t="s">
        <v>2</v>
      </c>
      <c r="E4" s="4"/>
      <c r="F4" s="26" t="s">
        <v>3</v>
      </c>
      <c r="G4" s="27">
        <v>1</v>
      </c>
      <c r="H4" s="25"/>
      <c r="I4" s="25"/>
      <c r="J4" s="25"/>
      <c r="K4" s="25"/>
      <c r="L4" s="25"/>
      <c r="M4" s="25"/>
      <c r="N4" s="4"/>
      <c r="O4" s="24" t="s">
        <v>18</v>
      </c>
      <c r="P4" s="24">
        <f>M6-M7</f>
        <v>0</v>
      </c>
      <c r="R4" s="7" t="s">
        <v>19</v>
      </c>
      <c r="S4" s="7" t="s">
        <v>6</v>
      </c>
    </row>
    <row r="5" spans="2:20" ht="15.6" x14ac:dyDescent="0.3">
      <c r="B5" s="11" t="s">
        <v>3</v>
      </c>
      <c r="C5" s="12" t="s">
        <v>4</v>
      </c>
      <c r="D5" s="10" t="s">
        <v>6</v>
      </c>
      <c r="E5" s="4"/>
      <c r="F5" s="25"/>
      <c r="G5" s="25"/>
      <c r="H5" s="28" t="s">
        <v>7</v>
      </c>
      <c r="I5" s="29">
        <v>0.1</v>
      </c>
      <c r="J5" s="25"/>
      <c r="K5" s="25"/>
      <c r="L5" s="30"/>
      <c r="M5" s="30"/>
      <c r="N5" s="4"/>
      <c r="O5" s="24" t="s">
        <v>13</v>
      </c>
      <c r="P5" s="24">
        <f>K10*P4*G4</f>
        <v>0</v>
      </c>
      <c r="R5" s="7">
        <v>-0.5</v>
      </c>
      <c r="S5" s="7">
        <f>-$I$5/$I$8*R5+$K$9/$I$8</f>
        <v>1.5</v>
      </c>
    </row>
    <row r="6" spans="2:20" ht="15" x14ac:dyDescent="0.3">
      <c r="B6" s="11">
        <v>1</v>
      </c>
      <c r="C6" s="12">
        <v>1</v>
      </c>
      <c r="D6" s="10">
        <v>1</v>
      </c>
      <c r="E6" s="4"/>
      <c r="F6" s="25"/>
      <c r="G6" s="25"/>
      <c r="H6" s="25"/>
      <c r="I6" s="25"/>
      <c r="J6" s="31">
        <f>I5*G4+I8*G9-K9</f>
        <v>5.0000000000000044E-2</v>
      </c>
      <c r="K6" s="31"/>
      <c r="L6" s="32" t="s">
        <v>5</v>
      </c>
      <c r="M6" s="33">
        <v>1</v>
      </c>
      <c r="N6" s="4"/>
      <c r="O6" s="24" t="s">
        <v>14</v>
      </c>
      <c r="P6" s="24">
        <f>K10*P4*G9</f>
        <v>0</v>
      </c>
      <c r="R6" s="7">
        <f>R5+0.5</f>
        <v>0</v>
      </c>
      <c r="S6" s="7">
        <f>-$I$5/$I$8*R6+$K$9/$I$8</f>
        <v>1.25</v>
      </c>
    </row>
    <row r="7" spans="2:20" ht="15" x14ac:dyDescent="0.3">
      <c r="B7" s="11">
        <v>1</v>
      </c>
      <c r="C7" s="12">
        <v>0</v>
      </c>
      <c r="D7" s="10">
        <v>0</v>
      </c>
      <c r="E7" s="4"/>
      <c r="F7" s="25"/>
      <c r="G7" s="25"/>
      <c r="H7" s="25"/>
      <c r="I7" s="25"/>
      <c r="J7" s="31"/>
      <c r="K7" s="31"/>
      <c r="L7" s="32" t="s">
        <v>23</v>
      </c>
      <c r="M7" s="33">
        <f>IF(I5*G4+I8*G9-K9&lt;0,0,1)</f>
        <v>1</v>
      </c>
      <c r="N7" s="4"/>
      <c r="O7" s="24" t="s">
        <v>15</v>
      </c>
      <c r="P7" s="24">
        <f>I5+P5</f>
        <v>0.1</v>
      </c>
      <c r="R7" s="7">
        <f>R6+0.5</f>
        <v>0.5</v>
      </c>
      <c r="S7" s="7">
        <f>-$I$5/$I$8*R7+$K$9/$I$8</f>
        <v>1</v>
      </c>
    </row>
    <row r="8" spans="2:20" ht="15" x14ac:dyDescent="0.3">
      <c r="B8" s="11">
        <v>0</v>
      </c>
      <c r="C8" s="12">
        <v>1</v>
      </c>
      <c r="D8" s="10">
        <v>0</v>
      </c>
      <c r="E8" s="4"/>
      <c r="F8" s="25"/>
      <c r="G8" s="25"/>
      <c r="H8" s="28" t="s">
        <v>8</v>
      </c>
      <c r="I8" s="29">
        <v>0.2</v>
      </c>
      <c r="J8" s="25"/>
      <c r="K8" s="25"/>
      <c r="L8" s="25"/>
      <c r="M8" s="25"/>
      <c r="N8" s="4"/>
      <c r="O8" s="24" t="s">
        <v>16</v>
      </c>
      <c r="P8" s="24">
        <f>I8+P6</f>
        <v>0.2</v>
      </c>
      <c r="R8" s="7">
        <f>R7+0.5</f>
        <v>1</v>
      </c>
      <c r="S8" s="7">
        <f>-$I$5/$I$8*R8+$K$9/$I$8</f>
        <v>0.75</v>
      </c>
    </row>
    <row r="9" spans="2:20" ht="15" x14ac:dyDescent="0.3">
      <c r="B9" s="13">
        <v>0</v>
      </c>
      <c r="C9" s="14">
        <v>0</v>
      </c>
      <c r="D9" s="15">
        <v>0</v>
      </c>
      <c r="E9" s="4"/>
      <c r="F9" s="26" t="s">
        <v>4</v>
      </c>
      <c r="G9" s="27">
        <v>1</v>
      </c>
      <c r="H9" s="25"/>
      <c r="I9" s="25"/>
      <c r="J9" s="34" t="s">
        <v>12</v>
      </c>
      <c r="K9" s="29">
        <v>0.25</v>
      </c>
      <c r="L9" s="25"/>
      <c r="M9" s="25"/>
      <c r="N9" s="4"/>
      <c r="O9" s="24" t="s">
        <v>17</v>
      </c>
      <c r="P9" s="24">
        <f>K9-K10*P4</f>
        <v>0.25</v>
      </c>
      <c r="R9" s="7">
        <f>R8+0.5</f>
        <v>1.5</v>
      </c>
      <c r="S9" s="7">
        <f>-$I$5/$I$8*R9+$K$9/$I$8</f>
        <v>0.5</v>
      </c>
    </row>
    <row r="10" spans="2:20" ht="15" x14ac:dyDescent="0.35">
      <c r="B10" s="4"/>
      <c r="C10" s="4"/>
      <c r="D10" s="4"/>
      <c r="E10" s="4"/>
      <c r="F10" s="25"/>
      <c r="G10" s="25"/>
      <c r="H10" s="25"/>
      <c r="I10" s="25"/>
      <c r="J10" s="34" t="s">
        <v>21</v>
      </c>
      <c r="K10" s="29">
        <v>0.1</v>
      </c>
      <c r="L10" s="25"/>
      <c r="M10" s="25"/>
      <c r="N10" s="4"/>
      <c r="O10" s="4"/>
      <c r="P10" s="4"/>
      <c r="T10" s="6"/>
    </row>
    <row r="11" spans="2:20" x14ac:dyDescent="0.3"/>
    <row r="12" spans="2:20" x14ac:dyDescent="0.3"/>
    <row r="13" spans="2:20" x14ac:dyDescent="0.3"/>
    <row r="14" spans="2:20" x14ac:dyDescent="0.3"/>
    <row r="15" spans="2:20" x14ac:dyDescent="0.3"/>
    <row r="16" spans="2:20" ht="15" x14ac:dyDescent="0.35">
      <c r="J16" s="6"/>
    </row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hidden="1" x14ac:dyDescent="0.3"/>
    <row r="29" hidden="1" x14ac:dyDescent="0.3"/>
    <row r="30" hidden="1" x14ac:dyDescent="0.3"/>
    <row r="31" hidden="1" x14ac:dyDescent="0.3"/>
    <row r="32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  <row r="40" hidden="1" x14ac:dyDescent="0.3"/>
    <row r="41" hidden="1" x14ac:dyDescent="0.3"/>
    <row r="42" hidden="1" x14ac:dyDescent="0.3"/>
    <row r="43" hidden="1" x14ac:dyDescent="0.3"/>
    <row r="44" hidden="1" x14ac:dyDescent="0.3"/>
    <row r="45" hidden="1" x14ac:dyDescent="0.3"/>
  </sheetData>
  <mergeCells count="5">
    <mergeCell ref="R3:S3"/>
    <mergeCell ref="O3:P3"/>
    <mergeCell ref="B4:C4"/>
    <mergeCell ref="B2:D3"/>
    <mergeCell ref="J6:K7"/>
  </mergeCells>
  <pageMargins left="0.7" right="0.7" top="0.75" bottom="0.75" header="0.3" footer="0.3"/>
  <pageSetup scale="9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trada1">
                <anchor moveWithCells="1">
                  <from>
                    <xdr:col>4</xdr:col>
                    <xdr:colOff>53340</xdr:colOff>
                    <xdr:row>5</xdr:row>
                    <xdr:rowOff>22860</xdr:rowOff>
                  </from>
                  <to>
                    <xdr:col>4</xdr:col>
                    <xdr:colOff>403860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ntrada2">
                <anchor moveWithCells="1">
                  <from>
                    <xdr:col>4</xdr:col>
                    <xdr:colOff>53340</xdr:colOff>
                    <xdr:row>6</xdr:row>
                    <xdr:rowOff>15240</xdr:rowOff>
                  </from>
                  <to>
                    <xdr:col>4</xdr:col>
                    <xdr:colOff>403860</xdr:colOff>
                    <xdr:row>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Entrada3">
                <anchor moveWithCells="1">
                  <from>
                    <xdr:col>4</xdr:col>
                    <xdr:colOff>53340</xdr:colOff>
                    <xdr:row>7</xdr:row>
                    <xdr:rowOff>22860</xdr:rowOff>
                  </from>
                  <to>
                    <xdr:col>4</xdr:col>
                    <xdr:colOff>403860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Entrada4">
                <anchor moveWithCells="1">
                  <from>
                    <xdr:col>4</xdr:col>
                    <xdr:colOff>60960</xdr:colOff>
                    <xdr:row>8</xdr:row>
                    <xdr:rowOff>22860</xdr:rowOff>
                  </from>
                  <to>
                    <xdr:col>4</xdr:col>
                    <xdr:colOff>411480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opiar">
                <anchor moveWithCells="1">
                  <from>
                    <xdr:col>4</xdr:col>
                    <xdr:colOff>76200</xdr:colOff>
                    <xdr:row>0</xdr:row>
                    <xdr:rowOff>22860</xdr:rowOff>
                  </from>
                  <to>
                    <xdr:col>4</xdr:col>
                    <xdr:colOff>723900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Guardar">
                <anchor moveWithCells="1">
                  <from>
                    <xdr:col>11</xdr:col>
                    <xdr:colOff>60960</xdr:colOff>
                    <xdr:row>0</xdr:row>
                    <xdr:rowOff>38100</xdr:rowOff>
                  </from>
                  <to>
                    <xdr:col>12</xdr:col>
                    <xdr:colOff>327660</xdr:colOff>
                    <xdr:row>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Alonso Ibáñez López Lena</dc:creator>
  <cp:lastModifiedBy>Alonso Ibáñez López Lena</cp:lastModifiedBy>
  <cp:lastPrinted>2020-04-14T17:20:07Z</cp:lastPrinted>
  <dcterms:created xsi:type="dcterms:W3CDTF">2020-04-14T13:39:47Z</dcterms:created>
  <dcterms:modified xsi:type="dcterms:W3CDTF">2020-04-14T23:11:47Z</dcterms:modified>
</cp:coreProperties>
</file>