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nteligenciaArtificial\"/>
    </mc:Choice>
  </mc:AlternateContent>
  <xr:revisionPtr revIDLastSave="0" documentId="13_ncr:1_{2EF539D6-9543-4C3F-B8F7-991F235F1FCE}" xr6:coauthVersionLast="44" xr6:coauthVersionMax="44" xr10:uidLastSave="{00000000-0000-0000-0000-000000000000}"/>
  <bookViews>
    <workbookView xWindow="-108" yWindow="-108" windowWidth="23256" windowHeight="13176" xr2:uid="{433F83DF-C6D8-4F51-A39A-29BF77221C87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4" i="1" l="1"/>
  <c r="R5" i="1"/>
  <c r="S5" i="1" s="1"/>
  <c r="M7" i="1"/>
  <c r="J6" i="1"/>
  <c r="R6" i="1" l="1"/>
  <c r="P3" i="1"/>
  <c r="P8" i="1" s="1"/>
  <c r="S6" i="1" l="1"/>
  <c r="R7" i="1"/>
  <c r="P5" i="1"/>
  <c r="P7" i="1" s="1"/>
  <c r="P4" i="1"/>
  <c r="P6" i="1" s="1"/>
  <c r="R8" i="1" l="1"/>
  <c r="S8" i="1" s="1"/>
  <c r="S7" i="1"/>
</calcChain>
</file>

<file path=xl/sharedStrings.xml><?xml version="1.0" encoding="utf-8"?>
<sst xmlns="http://schemas.openxmlformats.org/spreadsheetml/2006/main" count="25" uniqueCount="23">
  <si>
    <t>Patrones de entrenamiento</t>
  </si>
  <si>
    <t>Entrada</t>
  </si>
  <si>
    <t>Salida</t>
  </si>
  <si>
    <t>x1</t>
  </si>
  <si>
    <t>x2</t>
  </si>
  <si>
    <t>y</t>
  </si>
  <si>
    <t>x1=</t>
  </si>
  <si>
    <t>x2=</t>
  </si>
  <si>
    <t>w2=</t>
  </si>
  <si>
    <t>w1=</t>
  </si>
  <si>
    <t>b=</t>
  </si>
  <si>
    <t>n=</t>
  </si>
  <si>
    <t>W1=</t>
  </si>
  <si>
    <t>W2=</t>
  </si>
  <si>
    <t>D=</t>
  </si>
  <si>
    <t>Y=</t>
  </si>
  <si>
    <t>delta1=n*S*x1=</t>
  </si>
  <si>
    <t>delta2=n*S*x2=</t>
  </si>
  <si>
    <t>W1=w1+delta1=</t>
  </si>
  <si>
    <t>W2=w2+delta2=</t>
  </si>
  <si>
    <t>b=b-nS=</t>
  </si>
  <si>
    <t>S=(D-Y)=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</si>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</sst>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rgb="FF1E1E1E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Entradas 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Hoja1!$C$9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39-4208-94E6-77E2598CA303}"/>
            </c:ext>
          </c:extLst>
        </c:ser>
        <c:ser>
          <c:idx val="1"/>
          <c:order val="1"/>
          <c:tx>
            <c:v>Entradas 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Hoja1!$B$6:$B$8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0</c:v>
                </c:pt>
              </c:numCache>
            </c:numRef>
          </c:xVal>
          <c:yVal>
            <c:numRef>
              <c:f>Hoja1!$C$6:$C$8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39-4208-94E6-77E2598CA303}"/>
            </c:ext>
          </c:extLst>
        </c:ser>
        <c:ser>
          <c:idx val="2"/>
          <c:order val="2"/>
          <c:tx>
            <c:v>Recta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Hoja1!$R$4:$R$8</c:f>
              <c:numCache>
                <c:formatCode>General</c:formatCode>
                <c:ptCount val="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</c:numCache>
            </c:numRef>
          </c:xVal>
          <c:yVal>
            <c:numRef>
              <c:f>Hoja1!$S$4:$S$8</c:f>
              <c:numCache>
                <c:formatCode>General</c:formatCode>
                <c:ptCount val="5"/>
                <c:pt idx="0">
                  <c:v>0.91666666666666641</c:v>
                </c:pt>
                <c:pt idx="1">
                  <c:v>0.41666666666666641</c:v>
                </c:pt>
                <c:pt idx="2">
                  <c:v>-8.3333333333333592E-2</c:v>
                </c:pt>
                <c:pt idx="3">
                  <c:v>-0.58333333333333359</c:v>
                </c:pt>
                <c:pt idx="4">
                  <c:v>-1.0833333333333335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39-4208-94E6-77E2598CA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525024"/>
        <c:axId val="1956184064"/>
      </c:scatterChart>
      <c:valAx>
        <c:axId val="179952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56184064"/>
        <c:crosses val="autoZero"/>
        <c:crossBetween val="midCat"/>
      </c:valAx>
      <c:valAx>
        <c:axId val="19561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9952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</xdr:colOff>
          <xdr:row>5</xdr:row>
          <xdr:rowOff>22860</xdr:rowOff>
        </xdr:from>
        <xdr:to>
          <xdr:col>4</xdr:col>
          <xdr:colOff>403860</xdr:colOff>
          <xdr:row>5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231D6DA-4A91-4BC2-8A17-165E1C536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</xdr:colOff>
          <xdr:row>6</xdr:row>
          <xdr:rowOff>15240</xdr:rowOff>
        </xdr:from>
        <xdr:to>
          <xdr:col>4</xdr:col>
          <xdr:colOff>403860</xdr:colOff>
          <xdr:row>6</xdr:row>
          <xdr:rowOff>167640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03EC17F-0E1D-45F0-BEF1-4F7D40261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</xdr:colOff>
          <xdr:row>7</xdr:row>
          <xdr:rowOff>22860</xdr:rowOff>
        </xdr:from>
        <xdr:to>
          <xdr:col>4</xdr:col>
          <xdr:colOff>403860</xdr:colOff>
          <xdr:row>7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661A1AC-E2F2-4BA0-A29F-49A456C5B0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8</xdr:row>
          <xdr:rowOff>22860</xdr:rowOff>
        </xdr:from>
        <xdr:to>
          <xdr:col>4</xdr:col>
          <xdr:colOff>411480</xdr:colOff>
          <xdr:row>8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3C0A40F9-FF09-4013-B840-4EA371E4D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22860</xdr:rowOff>
        </xdr:from>
        <xdr:to>
          <xdr:col>4</xdr:col>
          <xdr:colOff>723900</xdr:colOff>
          <xdr:row>0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3109A69-ED36-47FA-A987-D4FA99882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</xdr:colOff>
          <xdr:row>0</xdr:row>
          <xdr:rowOff>38100</xdr:rowOff>
        </xdr:from>
        <xdr:to>
          <xdr:col>12</xdr:col>
          <xdr:colOff>327660</xdr:colOff>
          <xdr:row>1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4F2B6F97-7B0D-45AA-91B5-D240B2B86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502920</xdr:colOff>
      <xdr:row>11</xdr:row>
      <xdr:rowOff>171450</xdr:rowOff>
    </xdr:from>
    <xdr:to>
      <xdr:col>14</xdr:col>
      <xdr:colOff>853440</xdr:colOff>
      <xdr:row>26</xdr:row>
      <xdr:rowOff>163830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D8E4BA-4052-4B15-85A8-A6213DF3E0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B89E-0D5B-4CA0-84A6-105D7FF39ECB}">
  <sheetPr codeName="Hoja1"/>
  <dimension ref="B1:T16"/>
  <sheetViews>
    <sheetView tabSelected="1" workbookViewId="0">
      <selection activeCell="W19" sqref="W19"/>
    </sheetView>
  </sheetViews>
  <sheetFormatPr baseColWidth="10" defaultRowHeight="14.4" x14ac:dyDescent="0.3"/>
  <cols>
    <col min="2" max="3" width="5.5546875" customWidth="1"/>
    <col min="4" max="4" width="6.6640625" customWidth="1"/>
    <col min="6" max="14" width="5.5546875" customWidth="1"/>
    <col min="15" max="15" width="15.5546875" customWidth="1"/>
  </cols>
  <sheetData>
    <row r="1" spans="2:20" ht="14.4" customHeight="1" x14ac:dyDescent="0.3">
      <c r="B1" s="3"/>
      <c r="C1" s="4"/>
      <c r="D1" s="4"/>
      <c r="E1" s="5"/>
      <c r="F1" s="9" t="s">
        <v>12</v>
      </c>
      <c r="G1" s="9">
        <v>1.2000000000000002</v>
      </c>
      <c r="H1" s="9" t="s">
        <v>13</v>
      </c>
      <c r="I1" s="9">
        <v>1.2000000000000002</v>
      </c>
      <c r="J1" s="9" t="s">
        <v>10</v>
      </c>
      <c r="K1" s="9">
        <v>1.0999999999999999</v>
      </c>
      <c r="L1" s="5"/>
      <c r="M1" s="5"/>
      <c r="N1" s="5"/>
      <c r="O1" s="5"/>
      <c r="P1" s="5"/>
    </row>
    <row r="2" spans="2:20" ht="15.6" customHeight="1" x14ac:dyDescent="0.3">
      <c r="B2" s="1" t="s">
        <v>0</v>
      </c>
      <c r="C2" s="1"/>
      <c r="D2" s="1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2:20" x14ac:dyDescent="0.3">
      <c r="B3" s="1"/>
      <c r="C3" s="1"/>
      <c r="D3" s="1"/>
      <c r="E3" s="6"/>
      <c r="F3" s="6"/>
      <c r="G3" s="6"/>
      <c r="H3" s="6"/>
      <c r="I3" s="6"/>
      <c r="J3" s="6"/>
      <c r="K3" s="6"/>
      <c r="L3" s="6"/>
      <c r="M3" s="6"/>
      <c r="N3" s="6"/>
      <c r="O3" s="11" t="s">
        <v>21</v>
      </c>
      <c r="P3" s="11">
        <f>M5-M7</f>
        <v>0</v>
      </c>
      <c r="R3" t="s">
        <v>22</v>
      </c>
      <c r="S3" t="s">
        <v>5</v>
      </c>
    </row>
    <row r="4" spans="2:20" x14ac:dyDescent="0.3">
      <c r="B4" s="2" t="s">
        <v>1</v>
      </c>
      <c r="C4" s="2"/>
      <c r="D4" s="7" t="s">
        <v>2</v>
      </c>
      <c r="E4" s="6"/>
      <c r="F4" s="7" t="s">
        <v>6</v>
      </c>
      <c r="G4" s="7">
        <v>0</v>
      </c>
      <c r="H4" s="6"/>
      <c r="I4" s="6"/>
      <c r="J4" s="6"/>
      <c r="K4" s="6"/>
      <c r="L4" s="6"/>
      <c r="M4" s="6"/>
      <c r="N4" s="6"/>
      <c r="O4" s="11" t="s">
        <v>16</v>
      </c>
      <c r="P4" s="11">
        <f>K10*P3*G4</f>
        <v>0</v>
      </c>
      <c r="R4">
        <v>0</v>
      </c>
      <c r="S4">
        <f>-$I$5/$I$8*R4+$K$9/$I$8</f>
        <v>0.91666666666666641</v>
      </c>
    </row>
    <row r="5" spans="2:20" x14ac:dyDescent="0.3">
      <c r="B5" s="7" t="s">
        <v>3</v>
      </c>
      <c r="C5" s="7" t="s">
        <v>4</v>
      </c>
      <c r="D5" s="7" t="s">
        <v>5</v>
      </c>
      <c r="E5" s="6"/>
      <c r="F5" s="6"/>
      <c r="G5" s="6"/>
      <c r="H5" s="8" t="s">
        <v>9</v>
      </c>
      <c r="I5" s="8">
        <v>1.2000000000000002</v>
      </c>
      <c r="J5" s="6"/>
      <c r="K5" s="6"/>
      <c r="L5" s="7" t="s">
        <v>14</v>
      </c>
      <c r="M5" s="7">
        <v>1</v>
      </c>
      <c r="N5" s="6"/>
      <c r="O5" s="11" t="s">
        <v>17</v>
      </c>
      <c r="P5" s="11">
        <f>K10*P3*G9</f>
        <v>0</v>
      </c>
      <c r="R5">
        <f>R4+0.5</f>
        <v>0.5</v>
      </c>
      <c r="S5">
        <f>-$I$5/$I$8*R5+$K$9/$I$8</f>
        <v>0.41666666666666641</v>
      </c>
    </row>
    <row r="6" spans="2:20" x14ac:dyDescent="0.3">
      <c r="B6" s="7">
        <v>1</v>
      </c>
      <c r="C6" s="7">
        <v>1</v>
      </c>
      <c r="D6" s="7">
        <v>1</v>
      </c>
      <c r="E6" s="6"/>
      <c r="F6" s="6"/>
      <c r="G6" s="6"/>
      <c r="H6" s="6"/>
      <c r="I6" s="6"/>
      <c r="J6" s="13">
        <f>I5*G4+I8*G9-K9</f>
        <v>0.10000000000000031</v>
      </c>
      <c r="K6" s="13"/>
      <c r="L6" s="6"/>
      <c r="M6" s="6"/>
      <c r="N6" s="6"/>
      <c r="O6" s="11" t="s">
        <v>18</v>
      </c>
      <c r="P6" s="11">
        <f>I5+P4</f>
        <v>1.2000000000000002</v>
      </c>
      <c r="R6">
        <f>R5+0.5</f>
        <v>1</v>
      </c>
      <c r="S6">
        <f>-$I$5/$I$8*R6+$K$9/$I$8</f>
        <v>-8.3333333333333592E-2</v>
      </c>
    </row>
    <row r="7" spans="2:20" x14ac:dyDescent="0.3">
      <c r="B7" s="7">
        <v>1</v>
      </c>
      <c r="C7" s="7">
        <v>0</v>
      </c>
      <c r="D7" s="7">
        <v>1</v>
      </c>
      <c r="E7" s="6"/>
      <c r="F7" s="6"/>
      <c r="G7" s="6"/>
      <c r="H7" s="6"/>
      <c r="I7" s="6"/>
      <c r="J7" s="13"/>
      <c r="K7" s="13"/>
      <c r="L7" s="10" t="s">
        <v>15</v>
      </c>
      <c r="M7" s="10">
        <f>IF(I5*G4+I8*G9-K9&lt;0,0,1)</f>
        <v>1</v>
      </c>
      <c r="N7" s="6"/>
      <c r="O7" s="11" t="s">
        <v>19</v>
      </c>
      <c r="P7" s="11">
        <f>I8+P5</f>
        <v>1.2000000000000002</v>
      </c>
      <c r="R7">
        <f t="shared" ref="R7:R8" si="0">R6+0.5</f>
        <v>1.5</v>
      </c>
      <c r="S7">
        <f t="shared" ref="S7:S8" si="1">-$I$5/$I$8*R7+$K$9/$I$8</f>
        <v>-0.58333333333333359</v>
      </c>
    </row>
    <row r="8" spans="2:20" x14ac:dyDescent="0.3">
      <c r="B8" s="7">
        <v>0</v>
      </c>
      <c r="C8" s="7">
        <v>1</v>
      </c>
      <c r="D8" s="7">
        <v>1</v>
      </c>
      <c r="E8" s="6"/>
      <c r="F8" s="6"/>
      <c r="G8" s="6"/>
      <c r="H8" s="8" t="s">
        <v>8</v>
      </c>
      <c r="I8" s="8">
        <v>1.2000000000000002</v>
      </c>
      <c r="J8" s="6"/>
      <c r="K8" s="6"/>
      <c r="L8" s="6"/>
      <c r="M8" s="6"/>
      <c r="N8" s="6"/>
      <c r="O8" s="11" t="s">
        <v>20</v>
      </c>
      <c r="P8" s="11">
        <f>K9-K10*P3</f>
        <v>1.0999999999999999</v>
      </c>
      <c r="R8">
        <f t="shared" si="0"/>
        <v>2</v>
      </c>
      <c r="S8">
        <f t="shared" si="1"/>
        <v>-1.0833333333333335</v>
      </c>
    </row>
    <row r="9" spans="2:20" x14ac:dyDescent="0.3">
      <c r="B9" s="7">
        <v>0</v>
      </c>
      <c r="C9" s="7">
        <v>0</v>
      </c>
      <c r="D9" s="7">
        <v>0</v>
      </c>
      <c r="E9" s="6"/>
      <c r="F9" s="7" t="s">
        <v>7</v>
      </c>
      <c r="G9" s="7">
        <v>1</v>
      </c>
      <c r="H9" s="6"/>
      <c r="I9" s="6"/>
      <c r="J9" s="8" t="s">
        <v>10</v>
      </c>
      <c r="K9" s="8">
        <v>1.0999999999999999</v>
      </c>
      <c r="L9" s="6"/>
      <c r="M9" s="6"/>
      <c r="N9" s="6"/>
      <c r="O9" s="6"/>
      <c r="P9" s="6"/>
    </row>
    <row r="10" spans="2:20" ht="15" x14ac:dyDescent="0.35">
      <c r="B10" s="6"/>
      <c r="C10" s="6"/>
      <c r="D10" s="6"/>
      <c r="E10" s="6"/>
      <c r="F10" s="6"/>
      <c r="G10" s="6"/>
      <c r="H10" s="6"/>
      <c r="I10" s="6"/>
      <c r="J10" s="8" t="s">
        <v>11</v>
      </c>
      <c r="K10" s="8">
        <v>0.1</v>
      </c>
      <c r="L10" s="6"/>
      <c r="M10" s="6"/>
      <c r="N10" s="6"/>
      <c r="O10" s="6"/>
      <c r="P10" s="6"/>
      <c r="T10" s="12"/>
    </row>
    <row r="16" spans="2:20" ht="15" x14ac:dyDescent="0.35">
      <c r="J16" s="12"/>
    </row>
  </sheetData>
  <mergeCells count="3">
    <mergeCell ref="B4:C4"/>
    <mergeCell ref="B2:D3"/>
    <mergeCell ref="J6:K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trada1">
                <anchor moveWithCells="1">
                  <from>
                    <xdr:col>4</xdr:col>
                    <xdr:colOff>53340</xdr:colOff>
                    <xdr:row>5</xdr:row>
                    <xdr:rowOff>22860</xdr:rowOff>
                  </from>
                  <to>
                    <xdr:col>4</xdr:col>
                    <xdr:colOff>403860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trada2">
                <anchor moveWithCells="1">
                  <from>
                    <xdr:col>4</xdr:col>
                    <xdr:colOff>53340</xdr:colOff>
                    <xdr:row>6</xdr:row>
                    <xdr:rowOff>15240</xdr:rowOff>
                  </from>
                  <to>
                    <xdr:col>4</xdr:col>
                    <xdr:colOff>403860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Entrada3">
                <anchor moveWithCells="1">
                  <from>
                    <xdr:col>4</xdr:col>
                    <xdr:colOff>53340</xdr:colOff>
                    <xdr:row>7</xdr:row>
                    <xdr:rowOff>22860</xdr:rowOff>
                  </from>
                  <to>
                    <xdr:col>4</xdr:col>
                    <xdr:colOff>403860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ntrada4">
                <anchor moveWithCells="1">
                  <from>
                    <xdr:col>4</xdr:col>
                    <xdr:colOff>60960</xdr:colOff>
                    <xdr:row>8</xdr:row>
                    <xdr:rowOff>22860</xdr:rowOff>
                  </from>
                  <to>
                    <xdr:col>4</xdr:col>
                    <xdr:colOff>411480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opiar">
                <anchor moveWithCells="1">
                  <from>
                    <xdr:col>4</xdr:col>
                    <xdr:colOff>76200</xdr:colOff>
                    <xdr:row>0</xdr:row>
                    <xdr:rowOff>22860</xdr:rowOff>
                  </from>
                  <to>
                    <xdr:col>4</xdr:col>
                    <xdr:colOff>723900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Guardar">
                <anchor moveWithCells="1">
                  <from>
                    <xdr:col>11</xdr:col>
                    <xdr:colOff>60960</xdr:colOff>
                    <xdr:row>0</xdr:row>
                    <xdr:rowOff>38100</xdr:rowOff>
                  </from>
                  <to>
                    <xdr:col>12</xdr:col>
                    <xdr:colOff>327660</xdr:colOff>
                    <xdr:row>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Ibáñez López Lena</dc:creator>
  <cp:lastModifiedBy>Alonso Ibáñez López Lena</cp:lastModifiedBy>
  <dcterms:created xsi:type="dcterms:W3CDTF">2020-04-14T13:39:47Z</dcterms:created>
  <dcterms:modified xsi:type="dcterms:W3CDTF">2020-04-14T16:33:10Z</dcterms:modified>
</cp:coreProperties>
</file>